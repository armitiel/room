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enci" sheetId="1" state="visible" r:id="rId3"/>
    <sheet name="O co prosić" sheetId="2" state="visible" r:id="rId4"/>
    <sheet name="Stan katalogu" sheetId="3" state="visible" r:id="rId5"/>
  </sheets>
  <definedNames>
    <definedName function="false" hidden="true" localSheetId="0" name="_xlnm._FilterDatabase" vbProcedure="false">Producenci!$A$5:$Q$17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<sst xmlns="http://schemas.openxmlformats.org/spreadsheetml/2006/main" count="224" uniqueCount="154">
  <si>
    <t xml:space="preserve">Producenci mebli — lista kontaktów do rozmowy o modelach 3D</t>
  </si>
  <si>
    <t xml:space="preserve">Cel: pozyskać prawo do użycia modeli 3D konkretnych produktów, żeby katalog Room przestał być zastępczy. Kolumny Status / Data / Notatki są do wypełniania.</t>
  </si>
  <si>
    <t xml:space="preserve">UWAGA: kolumna „Dane zweryfikowane” mówi, skąd pochodzi kontakt. „Strona firmy” = odczytane z witryny producenta we wrześniu 2026. „Do sprawdzenia” = adresu NIE potwierdziłem — wejdź na stronę przed wysyłką.</t>
  </si>
  <si>
    <t xml:space="preserve">Lp.</t>
  </si>
  <si>
    <t xml:space="preserve">Priorytet</t>
  </si>
  <si>
    <t xml:space="preserve">Firma</t>
  </si>
  <si>
    <t xml:space="preserve">Segment</t>
  </si>
  <si>
    <t xml:space="preserve">Dlaczego ta firma</t>
  </si>
  <si>
    <t xml:space="preserve">Ma już modele 3D?</t>
  </si>
  <si>
    <t xml:space="preserve">Biblioteka / strefa architekta</t>
  </si>
  <si>
    <t xml:space="preserve">Strona dla deweloperów</t>
  </si>
  <si>
    <t xml:space="preserve">E-mail</t>
  </si>
  <si>
    <t xml:space="preserve">Telefon</t>
  </si>
  <si>
    <t xml:space="preserve">Kontakt imienny</t>
  </si>
  <si>
    <t xml:space="preserve">Adres</t>
  </si>
  <si>
    <t xml:space="preserve">O co prosić najpierw</t>
  </si>
  <si>
    <t xml:space="preserve">Dane zweryfikowane</t>
  </si>
  <si>
    <t xml:space="preserve">Status</t>
  </si>
  <si>
    <t xml:space="preserve">Data kontaktu</t>
  </si>
  <si>
    <t xml:space="preserve">Notatki</t>
  </si>
  <si>
    <t xml:space="preserve">A</t>
  </si>
  <si>
    <t xml:space="preserve">VOX</t>
  </si>
  <si>
    <t xml:space="preserve">Mieszkaniowy + wykończenia</t>
  </si>
  <si>
    <t xml:space="preserve">Jedyny na liście, który ma osobną stronę i dla architektów, i dla deweloperów. Twój lejek to dokładnie jego lejek — obsługuje inwestycje mieszkaniowe.</t>
  </si>
  <si>
    <t xml:space="preserve">Sprawdź w strefie</t>
  </si>
  <si>
    <t xml:space="preserve">https://vox.pl/pages/architekt-vox</t>
  </si>
  <si>
    <t xml:space="preserve">https://vox.pl/pages/dla-deweloperow</t>
  </si>
  <si>
    <t xml:space="preserve">informacja@vox.pl</t>
  </si>
  <si>
    <t xml:space="preserve">+48 67 253 94 94</t>
  </si>
  <si>
    <t xml:space="preserve">—</t>
  </si>
  <si>
    <t xml:space="preserve">ul. Gdyńska 143, 62-004 Czerwonak</t>
  </si>
  <si>
    <t xml:space="preserve">Dostęp do strefy architekta + pytanie o modele 3D kolekcji mieszkaniowej i warunki użycia w wizualizacji sprzedażowej dewelopera.</t>
  </si>
  <si>
    <t xml:space="preserve">Strona firmy (IX 2026)</t>
  </si>
  <si>
    <t xml:space="preserve">Comforty (COM40)</t>
  </si>
  <si>
    <t xml:space="preserve">Design premium, tapicerowane</t>
  </si>
  <si>
    <t xml:space="preserve">Ma gotową sekcję z bryłami 3D/2D do pobrania i osobę odpowiedzialną za projektowanie i komunikację. Najkrótsza droga do pierwszego wpisu „real”.</t>
  </si>
  <si>
    <t xml:space="preserve">TAK — bryły 3D/2D</t>
  </si>
  <si>
    <t xml:space="preserve">https://comforty.pl/downloads/</t>
  </si>
  <si>
    <t xml:space="preserve">info@comforty.pl</t>
  </si>
  <si>
    <t xml:space="preserve">+48 62 762 95 25</t>
  </si>
  <si>
    <t xml:space="preserve">Paweł Kubara (projektowanie i komunikacja) p.kubara@comforty.pl, +48 513 077 600 · Kuba Heisig (sprzedaż) kuba.heisig@comforty.pl, +48 728 928 916</t>
  </si>
  <si>
    <t xml:space="preserve">ul. Podkocka 4b, 63-460 Nowe Skalmierzyce</t>
  </si>
  <si>
    <t xml:space="preserve">Warunki użycia brył 3D w komercyjnym spacerze dla dewelopera — nie o sam plik, bo ten już jest, tylko o zakres licencji.</t>
  </si>
  <si>
    <t xml:space="preserve">NOTI</t>
  </si>
  <si>
    <t xml:space="preserve">Design premium, tapicerowane + biurowe</t>
  </si>
  <si>
    <t xml:space="preserve">Ma chmurę z materiałami dla projektantów i konfigurator pCon. Firma przyzwyczajona do pracy z architektami, więc rozmowa o modelach jest dla niej rutyną.</t>
  </si>
  <si>
    <t xml:space="preserve">TAK — chmura + pCon</t>
  </si>
  <si>
    <t xml:space="preserve">https://cloud.noti.pl/?lang=pl</t>
  </si>
  <si>
    <t xml:space="preserve">biuro@noti.pl</t>
  </si>
  <si>
    <t xml:space="preserve">+48 61 89 66 480</t>
  </si>
  <si>
    <t xml:space="preserve">ul. Sowia 19, 62-080 Tarnowo Podgórne</t>
  </si>
  <si>
    <t xml:space="preserve">Dostęp do chmury i pytanie, czy modele wolno użyć w produkcie sprzedażowym, a nie tylko w projekcie wnętrza.</t>
  </si>
  <si>
    <t xml:space="preserve">Profim (grupa biurowa)</t>
  </si>
  <si>
    <t xml:space="preserve">Biurowe, lobby, przestrzenie wspólne</t>
  </si>
  <si>
    <t xml:space="preserve">Publikuje bryły 3D i pliki CAD dla architektów. Dobre dopasowanie do części Twojej działalności: showroomy, lobby, biura.</t>
  </si>
  <si>
    <t xml:space="preserve">TAK — bryły 3D, CAD</t>
  </si>
  <si>
    <t xml:space="preserve">https://www.profim.pl/pliki</t>
  </si>
  <si>
    <t xml:space="preserve">formularz na stronie</t>
  </si>
  <si>
    <t xml:space="preserve">Zapytanie przez formularz o licencję na użycie brył w komercyjnej wizualizacji interaktywnej.</t>
  </si>
  <si>
    <t xml:space="preserve">Do sprawdzenia</t>
  </si>
  <si>
    <t xml:space="preserve">B</t>
  </si>
  <si>
    <t xml:space="preserve">Grupa Forte</t>
  </si>
  <si>
    <t xml:space="preserve">Mieszkaniowy, masowy</t>
  </si>
  <si>
    <t xml:space="preserve">Duży producent mebli skrzyniowych — dokładnie ten asortyment, którym umeblujesz mieszkanie deweloperskie. Brak publicznej biblioteki 3D, więc rozmowa od zera.</t>
  </si>
  <si>
    <t xml:space="preserve">Nie znaleziono</t>
  </si>
  <si>
    <t xml:space="preserve">infolinia@forte.com.pl</t>
  </si>
  <si>
    <t xml:space="preserve">+48 801 644 222</t>
  </si>
  <si>
    <t xml:space="preserve">ul. Biała 1, 07-300 Ostrów Mazowiecka</t>
  </si>
  <si>
    <t xml:space="preserve">Skierowanie do działu marketingu/B2B i pytanie, czy istnieją modele 3D kolekcji na potrzeby wizualizacji.</t>
  </si>
  <si>
    <t xml:space="preserve">Tylko</t>
  </si>
  <si>
    <t xml:space="preserve">Mieszkaniowy, digital-first</t>
  </si>
  <si>
    <t xml:space="preserve">Cała firma stoi na konfiguratorze 3D — modele na pewno istnieją i są dobrze przygotowane. Najbliżej Ci kulturowo: rozumieją produkt cyfrowy.</t>
  </si>
  <si>
    <t xml:space="preserve">TAK (konfigurator)</t>
  </si>
  <si>
    <t xml:space="preserve">https://tylko.com</t>
  </si>
  <si>
    <t xml:space="preserve">adresy na stronie kontaktowej</t>
  </si>
  <si>
    <t xml:space="preserve">ul. Czerska 8/10, 00-732 Warszawa</t>
  </si>
  <si>
    <t xml:space="preserve">Kontakt B2B/prasowy: propozycja, żeby ich meble stały w Twoich spacerach dla deweloperów.</t>
  </si>
  <si>
    <t xml:space="preserve">Black Red White</t>
  </si>
  <si>
    <t xml:space="preserve">Największa rozpoznawalność w segmencie, do którego celują deweloperzy. Warto mieć w portfelu, choć decyzja pewnie potrwa.</t>
  </si>
  <si>
    <t xml:space="preserve">Znaleźć kontakt do marketingu przez stronę korporacyjną i zapytać o modele 3D kolekcji.</t>
  </si>
  <si>
    <t xml:space="preserve">Meble Wójcik</t>
  </si>
  <si>
    <t xml:space="preserve">Mieszkaniowy, pokoje młodzieżowe</t>
  </si>
  <si>
    <t xml:space="preserve">Silny w meblach do sypialni i pokoi dziecięcych — trzy sypialnie w Twoim demo to ich asortyment.</t>
  </si>
  <si>
    <t xml:space="preserve">https://meblewojcik.pl</t>
  </si>
  <si>
    <t xml:space="preserve">Elbląg</t>
  </si>
  <si>
    <t xml:space="preserve">Kontakt przez stronę, pytanie o dział marketingu i modele 3D.</t>
  </si>
  <si>
    <t xml:space="preserve">C</t>
  </si>
  <si>
    <t xml:space="preserve">Klose</t>
  </si>
  <si>
    <t xml:space="preserve">Mieszkaniowy premium</t>
  </si>
  <si>
    <t xml:space="preserve">Meble drewniane wyższej półki — pasują do wariantu Premium.</t>
  </si>
  <si>
    <t xml:space="preserve">Rozpoznanie: czy mają bibliotekę dla architektów.</t>
  </si>
  <si>
    <t xml:space="preserve">Paged</t>
  </si>
  <si>
    <t xml:space="preserve">Krzesła, design</t>
  </si>
  <si>
    <t xml:space="preserve">Ikoniczne polskie krzesła gięte. Świetnie wyglądają w jadalni i podnoszą poziom wizualny sceny.</t>
  </si>
  <si>
    <t xml:space="preserve">https://www.paged.pl</t>
  </si>
  <si>
    <t xml:space="preserve">Rozpoznanie przez stronę — serwis blokuje automatyczne odczytanie.</t>
  </si>
  <si>
    <t xml:space="preserve">Vzór</t>
  </si>
  <si>
    <t xml:space="preserve">Design, mała skala</t>
  </si>
  <si>
    <t xml:space="preserve">Mała marka designerska, decyzje zapadają szybko. Dobra na pierwszy podpisany dokument, nawet jeśli asortyment jest wąski.</t>
  </si>
  <si>
    <t xml:space="preserve">https://vzor.pl</t>
  </si>
  <si>
    <t xml:space="preserve">Bezpośredni mail do właścicieli — w małej firmie to skraca drogę do jednej rozmowy.</t>
  </si>
  <si>
    <t xml:space="preserve">MDD</t>
  </si>
  <si>
    <t xml:space="preserve">Biurowe</t>
  </si>
  <si>
    <t xml:space="preserve">Meble biurowe z bibliotekami dla architektów. Przydatne przy lobby i częściach wspólnych inwestycji.</t>
  </si>
  <si>
    <t xml:space="preserve">https://mdd.eu</t>
  </si>
  <si>
    <t xml:space="preserve">Rozpoznanie strefy architekta.</t>
  </si>
  <si>
    <t xml:space="preserve">Razem firm</t>
  </si>
  <si>
    <t xml:space="preserve">Z gotową biblioteką 3D</t>
  </si>
  <si>
    <t xml:space="preserve">Kontakt zweryfikowany na stronie firmy</t>
  </si>
  <si>
    <t xml:space="preserve">Odezwałeś się (uzupełnia się samo)</t>
  </si>
  <si>
    <t xml:space="preserve">O co właściwie prosisz producenta</t>
  </si>
  <si>
    <t xml:space="preserve">Trzy rzeczy, które łatwo pomylić</t>
  </si>
  <si>
    <t xml:space="preserve">1. Prawo do sprzedaży mebla — nie potrzebujesz go wcale.</t>
  </si>
  <si>
    <t xml:space="preserve">2. Plik modelu 3D — często jest już do pobrania, więc to nie jest to, o co masz prosić.</t>
  </si>
  <si>
    <t xml:space="preserve">3. Prawo do UŻYCIA modelu w Twoim produkcie komercyjnym — to jedyne, o co chodzi. Biblioteki „dla architektów” są zwykle przeznaczone do projektów wnętrz, a nie do wbudowania w narzędzie, które sprzedajesz deweloperowi. Ta różnica jest sednem rozmowy.</t>
  </si>
  <si>
    <t xml:space="preserve">Co dostaje producent w zamian</t>
  </si>
  <si>
    <t xml:space="preserve">Jego meble stoją w spacerze, który deweloper pokazuje kupującemu mieszkanie — czyli dokładnie w momencie, gdy ten człowiek zaczyna myśleć o urządzaniu. To kanał sprzedaży, nie koszt. Warto to powiedzieć w pierwszym zdaniu, bo inaczej rozmowa idzie do działu prawnego jako prośba.</t>
  </si>
  <si>
    <t xml:space="preserve">Wersja minimum, na którą łatwo się zgodzić</t>
  </si>
  <si>
    <t xml:space="preserve">Zgoda pisemna na użycie modeli w wizualizacjach Room, z wymogiem podania nazwy producenta i modelu przy każdym meblu w scenie oraz linku do karty produktu. Producent nic nie traci, a dostaje ekspozycję z podpisem. Katalog Room ma już pola manufacturer i product_url — podpis pod meblem jest gotowy technicznie.</t>
  </si>
  <si>
    <t xml:space="preserve">Szablon pierwszej wiadomości</t>
  </si>
  <si>
    <t xml:space="preserve">Temat: Wasze meble w interaktywnych spacerach po mieszkaniach deweloperskich</t>
  </si>
  <si>
    <t xml:space="preserve">Dzień dobry,</t>
  </si>
  <si>
    <t xml:space="preserve">buduję narzędzie, w którym deweloper pokazuje kupującemu mieszkanie jako spacer 3D w przeglądarce — z prawdziwych rzutów i w sprawdzonych wymiarach.</t>
  </si>
  <si>
    <t xml:space="preserve">Chciałbym umeblować te sceny Waszymi produktami. Nie proszę o modele za darmo do dowolnego użytku — proszę o zgodę na użycie ich w tych wizualizacjach, z widoczną nazwą Waszej marki, nazwą modelu i linkiem do karty produktu przy każdym meblu.</t>
  </si>
  <si>
    <t xml:space="preserve">Dla Was to ekspozycja w momencie, w którym kupujący pierwszy raz wyobraża sobie urządzanie tego mieszkania. Dla mnie — możliwość pokazania mebla, który naprawdę istnieje, zamiast bryły zastępczej.</t>
  </si>
  <si>
    <t xml:space="preserve">Czy jest osoba, z którą mógłbym o tym porozmawiać? Chętnie pokażę działające demo.</t>
  </si>
  <si>
    <t xml:space="preserve">Pozdrawiam,</t>
  </si>
  <si>
    <t xml:space="preserve">Amitiel</t>
  </si>
  <si>
    <t xml:space="preserve">Czego NIE obiecywać</t>
  </si>
  <si>
    <t xml:space="preserve">Nie obiecuj, że modele będą wyglądać identycznie jak produkt. Silnik przeglądarki upraszcza materiały i oświetlenie. Lepiej powiedzieć to od razu, niż tłumaczyć się po pierwszym renderze.</t>
  </si>
  <si>
    <t xml:space="preserve">Nie mów „to tylko do testów”, jeśli demo trafi do klienta. Test u siebie i demo pokazane deweloperowi to dwa różne stany prawne.</t>
  </si>
  <si>
    <t xml:space="preserve">Czego wymaga wpis „real” w catalog/products.json</t>
  </si>
  <si>
    <t xml:space="preserve">Pole</t>
  </si>
  <si>
    <t xml:space="preserve">Co musi zawierać</t>
  </si>
  <si>
    <t xml:space="preserve">kind</t>
  </si>
  <si>
    <t xml:space="preserve">„real” — inaczej walidator traktuje wpis jak bryłę zastępczą</t>
  </si>
  <si>
    <t xml:space="preserve">manufacturer</t>
  </si>
  <si>
    <t xml:space="preserve">Nazwa producenta. Bez tego walidator odrzuca wpis.</t>
  </si>
  <si>
    <t xml:space="preserve">product_url</t>
  </si>
  <si>
    <t xml:space="preserve">Adres karty produktu. Bez tego walidator odrzuca wpis.</t>
  </si>
  <si>
    <t xml:space="preserve">dimensions_m</t>
  </si>
  <si>
    <t xml:space="preserve">Wymiary z karty katalogowej, w metrach</t>
  </si>
  <si>
    <t xml:space="preserve">dimensions_source</t>
  </si>
  <si>
    <t xml:space="preserve">Skąd wymiary. Bez tego walidator odrzuca wpis.</t>
  </si>
  <si>
    <t xml:space="preserve">license</t>
  </si>
  <si>
    <t xml:space="preserve">Podstawa użycia MODELU — osobna od prawa do produktu</t>
  </si>
  <si>
    <t xml:space="preserve">model_author</t>
  </si>
  <si>
    <t xml:space="preserve">Kto wykonał model 3D</t>
  </si>
  <si>
    <t xml:space="preserve">price</t>
  </si>
  <si>
    <t xml:space="preserve">Cena z datą sprawdzenia — bez daty katalog starzeje się po cichu</t>
  </si>
  <si>
    <t xml:space="preserve">Dziś w katalogu</t>
  </si>
  <si>
    <t xml:space="preserve">30 wpisów „placeholder”, zero „real”</t>
  </si>
  <si>
    <t xml:space="preserve">Blokada</t>
  </si>
  <si>
    <t xml:space="preserve">Scena ze statusem approved nie zbuduje się na bryłach zastępczych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</si>
</sst>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9C42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6B34"/>
      <name val="Arial"/>
      <family val="0"/>
      <charset val="1"/>
    </font>
    <font>
      <b val="true"/>
      <sz val="10"/>
      <color rgb="FF8A6D1F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9C4221"/>
      <name val="Arial"/>
      <family val="0"/>
      <charset val="1"/>
    </font>
    <font>
      <b val="true"/>
      <sz val="13"/>
      <color rgb="FF1F3A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6D8"/>
        <bgColor rgb="FFF2F4F7"/>
      </patternFill>
    </fill>
    <fill>
      <patternFill patternType="solid">
        <fgColor rgb="FFF2F4F7"/>
        <bgColor rgb="FFE6F2E6"/>
      </patternFill>
    </fill>
    <fill>
      <patternFill patternType="solid">
        <fgColor rgb="FFE6F2E6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4"/>
      </left>
      <right style="thin">
        <color rgb="FFC9CDD4"/>
      </right>
      <top style="thin">
        <color rgb="FFC9CDD4"/>
      </top>
      <bottom style="thin">
        <color rgb="FFC9C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8A6D1F"/>
          <bgColor rgb="FF000000"/>
        </patternFill>
      </fill>
    </dxf>
    <dxf>
      <fill>
        <patternFill patternType="solid">
          <fgColor rgb="FFE6F2E6"/>
          <bgColor rgb="FF000000"/>
        </patternFill>
      </fill>
    </dxf>
    <dxf>
      <fill>
        <patternFill patternType="solid">
          <fgColor rgb="FFFFF6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6D1F"/>
      <rgbColor rgb="FF800080"/>
      <rgbColor rgb="FF008080"/>
      <rgbColor rgb="FFC9CDD4"/>
      <rgbColor rgb="FF808080"/>
      <rgbColor rgb="FF9999FF"/>
      <rgbColor rgb="FF993366"/>
      <rgbColor rgb="FFFFF6D8"/>
      <rgbColor rgb="FFE6F2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C4221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17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19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46"/>
    <col collapsed="false" customWidth="true" hidden="false" outlineLevel="0" max="14" min="14" style="0" width="20"/>
    <col collapsed="false" customWidth="true" hidden="false" outlineLevel="0" max="16" min="15" style="0" width="14"/>
    <col collapsed="false" customWidth="true" hidden="false" outlineLevel="0" max="17" min="1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</row>
    <row r="6" customFormat="false" ht="73.5" hidden="false" customHeight="true" outlineLevel="0" collapsed="false">
      <c r="A6" s="5" t="n">
        <v>1</v>
      </c>
      <c r="B6" s="6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28</v>
      </c>
      <c r="K6" s="5" t="s">
        <v>29</v>
      </c>
      <c r="L6" s="5" t="s">
        <v>30</v>
      </c>
      <c r="M6" s="5" t="s">
        <v>31</v>
      </c>
      <c r="N6" s="5" t="s">
        <v>32</v>
      </c>
      <c r="O6" s="7"/>
      <c r="P6" s="7"/>
      <c r="Q6" s="7"/>
    </row>
    <row r="7" customFormat="false" ht="73.5" hidden="false" customHeight="true" outlineLevel="0" collapsed="false">
      <c r="A7" s="8" t="n">
        <v>2</v>
      </c>
      <c r="B7" s="9" t="s">
        <v>20</v>
      </c>
      <c r="C7" s="8" t="s">
        <v>33</v>
      </c>
      <c r="D7" s="8" t="s">
        <v>34</v>
      </c>
      <c r="E7" s="8" t="s">
        <v>35</v>
      </c>
      <c r="F7" s="10" t="s">
        <v>36</v>
      </c>
      <c r="G7" s="8" t="s">
        <v>37</v>
      </c>
      <c r="H7" s="8" t="s">
        <v>29</v>
      </c>
      <c r="I7" s="8" t="s">
        <v>38</v>
      </c>
      <c r="J7" s="8" t="s">
        <v>39</v>
      </c>
      <c r="K7" s="8" t="s">
        <v>40</v>
      </c>
      <c r="L7" s="8" t="s">
        <v>41</v>
      </c>
      <c r="M7" s="8" t="s">
        <v>42</v>
      </c>
      <c r="N7" s="8" t="s">
        <v>32</v>
      </c>
      <c r="O7" s="7"/>
      <c r="P7" s="7"/>
      <c r="Q7" s="7"/>
    </row>
    <row r="8" customFormat="false" ht="73.5" hidden="false" customHeight="true" outlineLevel="0" collapsed="false">
      <c r="A8" s="5" t="n">
        <v>3</v>
      </c>
      <c r="B8" s="6" t="s">
        <v>20</v>
      </c>
      <c r="C8" s="5" t="s">
        <v>43</v>
      </c>
      <c r="D8" s="5" t="s">
        <v>44</v>
      </c>
      <c r="E8" s="5" t="s">
        <v>45</v>
      </c>
      <c r="F8" s="10" t="s">
        <v>46</v>
      </c>
      <c r="G8" s="5" t="s">
        <v>47</v>
      </c>
      <c r="H8" s="5" t="s">
        <v>29</v>
      </c>
      <c r="I8" s="5" t="s">
        <v>48</v>
      </c>
      <c r="J8" s="5" t="s">
        <v>49</v>
      </c>
      <c r="K8" s="5" t="s">
        <v>29</v>
      </c>
      <c r="L8" s="5" t="s">
        <v>50</v>
      </c>
      <c r="M8" s="5" t="s">
        <v>51</v>
      </c>
      <c r="N8" s="5" t="s">
        <v>32</v>
      </c>
      <c r="O8" s="7"/>
      <c r="P8" s="7"/>
      <c r="Q8" s="7"/>
    </row>
    <row r="9" customFormat="false" ht="73.5" hidden="false" customHeight="true" outlineLevel="0" collapsed="false">
      <c r="A9" s="8" t="n">
        <v>4</v>
      </c>
      <c r="B9" s="9" t="s">
        <v>20</v>
      </c>
      <c r="C9" s="8" t="s">
        <v>52</v>
      </c>
      <c r="D9" s="8" t="s">
        <v>53</v>
      </c>
      <c r="E9" s="8" t="s">
        <v>54</v>
      </c>
      <c r="F9" s="10" t="s">
        <v>55</v>
      </c>
      <c r="G9" s="8" t="s">
        <v>56</v>
      </c>
      <c r="H9" s="8" t="s">
        <v>29</v>
      </c>
      <c r="I9" s="8" t="s">
        <v>57</v>
      </c>
      <c r="J9" s="8" t="s">
        <v>29</v>
      </c>
      <c r="K9" s="8" t="s">
        <v>29</v>
      </c>
      <c r="L9" s="8" t="s">
        <v>29</v>
      </c>
      <c r="M9" s="8" t="s">
        <v>58</v>
      </c>
      <c r="N9" s="8" t="s">
        <v>59</v>
      </c>
      <c r="O9" s="7"/>
      <c r="P9" s="7"/>
      <c r="Q9" s="7"/>
    </row>
    <row r="10" customFormat="false" ht="73.5" hidden="false" customHeight="true" outlineLevel="0" collapsed="false">
      <c r="A10" s="5" t="n">
        <v>5</v>
      </c>
      <c r="B10" s="11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5" t="s">
        <v>29</v>
      </c>
      <c r="H10" s="5" t="s">
        <v>29</v>
      </c>
      <c r="I10" s="5" t="s">
        <v>65</v>
      </c>
      <c r="J10" s="5" t="s">
        <v>66</v>
      </c>
      <c r="K10" s="5" t="s">
        <v>29</v>
      </c>
      <c r="L10" s="5" t="s">
        <v>67</v>
      </c>
      <c r="M10" s="5" t="s">
        <v>68</v>
      </c>
      <c r="N10" s="5" t="s">
        <v>32</v>
      </c>
      <c r="O10" s="7"/>
      <c r="P10" s="7"/>
      <c r="Q10" s="7"/>
    </row>
    <row r="11" customFormat="false" ht="73.5" hidden="false" customHeight="true" outlineLevel="0" collapsed="false">
      <c r="A11" s="8" t="n">
        <v>6</v>
      </c>
      <c r="B11" s="12" t="s">
        <v>60</v>
      </c>
      <c r="C11" s="8" t="s">
        <v>69</v>
      </c>
      <c r="D11" s="8" t="s">
        <v>70</v>
      </c>
      <c r="E11" s="8" t="s">
        <v>71</v>
      </c>
      <c r="F11" s="10" t="s">
        <v>72</v>
      </c>
      <c r="G11" s="8" t="s">
        <v>73</v>
      </c>
      <c r="H11" s="8" t="s">
        <v>29</v>
      </c>
      <c r="I11" s="8" t="s">
        <v>74</v>
      </c>
      <c r="J11" s="8" t="s">
        <v>29</v>
      </c>
      <c r="K11" s="8" t="s">
        <v>29</v>
      </c>
      <c r="L11" s="8" t="s">
        <v>75</v>
      </c>
      <c r="M11" s="8" t="s">
        <v>76</v>
      </c>
      <c r="N11" s="8" t="s">
        <v>59</v>
      </c>
      <c r="O11" s="7"/>
      <c r="P11" s="7"/>
      <c r="Q11" s="7"/>
    </row>
    <row r="12" customFormat="false" ht="73.5" hidden="false" customHeight="true" outlineLevel="0" collapsed="false">
      <c r="A12" s="5" t="n">
        <v>7</v>
      </c>
      <c r="B12" s="11" t="s">
        <v>60</v>
      </c>
      <c r="C12" s="5" t="s">
        <v>77</v>
      </c>
      <c r="D12" s="5" t="s">
        <v>62</v>
      </c>
      <c r="E12" s="5" t="s">
        <v>78</v>
      </c>
      <c r="F12" s="5" t="s">
        <v>59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79</v>
      </c>
      <c r="N12" s="5" t="s">
        <v>59</v>
      </c>
      <c r="O12" s="7"/>
      <c r="P12" s="7"/>
      <c r="Q12" s="7"/>
    </row>
    <row r="13" customFormat="false" ht="73.5" hidden="false" customHeight="true" outlineLevel="0" collapsed="false">
      <c r="A13" s="8" t="n">
        <v>8</v>
      </c>
      <c r="B13" s="12" t="s">
        <v>60</v>
      </c>
      <c r="C13" s="8" t="s">
        <v>80</v>
      </c>
      <c r="D13" s="8" t="s">
        <v>81</v>
      </c>
      <c r="E13" s="8" t="s">
        <v>82</v>
      </c>
      <c r="F13" s="8" t="s">
        <v>59</v>
      </c>
      <c r="G13" s="8" t="s">
        <v>83</v>
      </c>
      <c r="H13" s="8" t="s">
        <v>29</v>
      </c>
      <c r="I13" s="8" t="s">
        <v>29</v>
      </c>
      <c r="J13" s="8" t="s">
        <v>29</v>
      </c>
      <c r="K13" s="8" t="s">
        <v>29</v>
      </c>
      <c r="L13" s="8" t="s">
        <v>84</v>
      </c>
      <c r="M13" s="8" t="s">
        <v>85</v>
      </c>
      <c r="N13" s="8" t="s">
        <v>59</v>
      </c>
      <c r="O13" s="7"/>
      <c r="P13" s="7"/>
      <c r="Q13" s="7"/>
    </row>
    <row r="14" customFormat="false" ht="73.5" hidden="false" customHeight="true" outlineLevel="0" collapsed="false">
      <c r="A14" s="5" t="n">
        <v>9</v>
      </c>
      <c r="B14" s="13" t="s">
        <v>86</v>
      </c>
      <c r="C14" s="5" t="s">
        <v>87</v>
      </c>
      <c r="D14" s="5" t="s">
        <v>88</v>
      </c>
      <c r="E14" s="5" t="s">
        <v>89</v>
      </c>
      <c r="F14" s="5" t="s">
        <v>59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90</v>
      </c>
      <c r="N14" s="5" t="s">
        <v>59</v>
      </c>
      <c r="O14" s="7"/>
      <c r="P14" s="7"/>
      <c r="Q14" s="7"/>
    </row>
    <row r="15" customFormat="false" ht="73.5" hidden="false" customHeight="true" outlineLevel="0" collapsed="false">
      <c r="A15" s="8" t="n">
        <v>10</v>
      </c>
      <c r="B15" s="14" t="s">
        <v>86</v>
      </c>
      <c r="C15" s="8" t="s">
        <v>91</v>
      </c>
      <c r="D15" s="8" t="s">
        <v>92</v>
      </c>
      <c r="E15" s="8" t="s">
        <v>93</v>
      </c>
      <c r="F15" s="8" t="s">
        <v>59</v>
      </c>
      <c r="G15" s="8" t="s">
        <v>94</v>
      </c>
      <c r="H15" s="8" t="s">
        <v>29</v>
      </c>
      <c r="I15" s="8" t="s">
        <v>29</v>
      </c>
      <c r="J15" s="8" t="s">
        <v>29</v>
      </c>
      <c r="K15" s="8" t="s">
        <v>29</v>
      </c>
      <c r="L15" s="8" t="s">
        <v>29</v>
      </c>
      <c r="M15" s="8" t="s">
        <v>95</v>
      </c>
      <c r="N15" s="8" t="s">
        <v>59</v>
      </c>
      <c r="O15" s="7"/>
      <c r="P15" s="7"/>
      <c r="Q15" s="7"/>
    </row>
    <row r="16" customFormat="false" ht="73.5" hidden="false" customHeight="true" outlineLevel="0" collapsed="false">
      <c r="A16" s="5" t="n">
        <v>11</v>
      </c>
      <c r="B16" s="13" t="s">
        <v>86</v>
      </c>
      <c r="C16" s="5" t="s">
        <v>96</v>
      </c>
      <c r="D16" s="5" t="s">
        <v>97</v>
      </c>
      <c r="E16" s="5" t="s">
        <v>98</v>
      </c>
      <c r="F16" s="5" t="s">
        <v>59</v>
      </c>
      <c r="G16" s="5" t="s">
        <v>99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100</v>
      </c>
      <c r="N16" s="5" t="s">
        <v>59</v>
      </c>
      <c r="O16" s="7"/>
      <c r="P16" s="7"/>
      <c r="Q16" s="7"/>
    </row>
    <row r="17" customFormat="false" ht="73.5" hidden="false" customHeight="true" outlineLevel="0" collapsed="false">
      <c r="A17" s="8" t="n">
        <v>12</v>
      </c>
      <c r="B17" s="14" t="s">
        <v>86</v>
      </c>
      <c r="C17" s="8" t="s">
        <v>101</v>
      </c>
      <c r="D17" s="8" t="s">
        <v>102</v>
      </c>
      <c r="E17" s="8" t="s">
        <v>103</v>
      </c>
      <c r="F17" s="8" t="s">
        <v>59</v>
      </c>
      <c r="G17" s="8" t="s">
        <v>104</v>
      </c>
      <c r="H17" s="8" t="s">
        <v>29</v>
      </c>
      <c r="I17" s="8" t="s">
        <v>29</v>
      </c>
      <c r="J17" s="8" t="s">
        <v>29</v>
      </c>
      <c r="K17" s="8" t="s">
        <v>29</v>
      </c>
      <c r="L17" s="8" t="s">
        <v>29</v>
      </c>
      <c r="M17" s="8" t="s">
        <v>105</v>
      </c>
      <c r="N17" s="8" t="s">
        <v>59</v>
      </c>
      <c r="O17" s="7"/>
      <c r="P17" s="7"/>
      <c r="Q17" s="7"/>
    </row>
    <row r="19" customFormat="false" ht="15" hidden="false" customHeight="false" outlineLevel="0" collapsed="false">
      <c r="C19" s="15" t="s">
        <v>106</v>
      </c>
      <c r="D19" s="15" t="n">
        <f aca="false">COUNTA(C6:C17)</f>
        <v>12</v>
      </c>
    </row>
    <row r="20" customFormat="false" ht="15" hidden="false" customHeight="false" outlineLevel="0" collapsed="false">
      <c r="C20" s="16" t="s">
        <v>107</v>
      </c>
      <c r="D20" s="16" t="n">
        <f aca="false">COUNTIF(F6:F17,"TAK*")</f>
        <v>4</v>
      </c>
    </row>
    <row r="21" customFormat="false" ht="15" hidden="false" customHeight="false" outlineLevel="0" collapsed="false">
      <c r="C21" s="16" t="s">
        <v>108</v>
      </c>
      <c r="D21" s="16" t="n">
        <f aca="false">COUNTIF(N6:N17,"Strona firmy (IX 2026)")</f>
        <v>4</v>
      </c>
    </row>
    <row r="22" customFormat="false" ht="15" hidden="false" customHeight="false" outlineLevel="0" collapsed="false">
      <c r="C22" s="16" t="s">
        <v>109</v>
      </c>
      <c r="D22" s="16" t="n">
        <f aca="false">COUNTA(O6:O17)</f>
        <v>0</v>
      </c>
    </row>
  </sheetData>
  <autoFilter ref="A5:Q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4" hidden="false" customHeight="true" outlineLevel="0" collapsed="false">
      <c r="B1" s="1" t="s">
        <v>110</v>
      </c>
    </row>
    <row r="2" customFormat="false" ht="15.75" hidden="false" customHeight="true" outlineLevel="0" collapsed="false">
      <c r="B2" s="17"/>
    </row>
    <row r="3" customFormat="false" ht="15.75" hidden="false" customHeight="true" outlineLevel="0" collapsed="false">
      <c r="B3" s="18" t="s">
        <v>111</v>
      </c>
    </row>
    <row r="4" customFormat="false" ht="15.75" hidden="false" customHeight="true" outlineLevel="0" collapsed="false">
      <c r="B4" s="17" t="s">
        <v>112</v>
      </c>
    </row>
    <row r="5" customFormat="false" ht="15.75" hidden="false" customHeight="true" outlineLevel="0" collapsed="false">
      <c r="B5" s="17" t="s">
        <v>113</v>
      </c>
    </row>
    <row r="6" customFormat="false" ht="42" hidden="false" customHeight="true" outlineLevel="0" collapsed="false">
      <c r="B6" s="17" t="s">
        <v>114</v>
      </c>
    </row>
    <row r="7" customFormat="false" ht="15.75" hidden="false" customHeight="true" outlineLevel="0" collapsed="false">
      <c r="B7" s="17"/>
    </row>
    <row r="8" customFormat="false" ht="15.75" hidden="false" customHeight="true" outlineLevel="0" collapsed="false">
      <c r="B8" s="18" t="s">
        <v>115</v>
      </c>
    </row>
    <row r="9" customFormat="false" ht="42" hidden="false" customHeight="true" outlineLevel="0" collapsed="false">
      <c r="B9" s="17" t="s">
        <v>116</v>
      </c>
    </row>
    <row r="10" customFormat="false" ht="15.75" hidden="false" customHeight="true" outlineLevel="0" collapsed="false">
      <c r="B10" s="17"/>
    </row>
    <row r="11" customFormat="false" ht="15.75" hidden="false" customHeight="true" outlineLevel="0" collapsed="false">
      <c r="B11" s="18" t="s">
        <v>117</v>
      </c>
    </row>
    <row r="12" customFormat="false" ht="55.5" hidden="false" customHeight="true" outlineLevel="0" collapsed="false">
      <c r="B12" s="17" t="s">
        <v>118</v>
      </c>
    </row>
    <row r="13" customFormat="false" ht="15.75" hidden="false" customHeight="true" outlineLevel="0" collapsed="false">
      <c r="B13" s="17"/>
    </row>
    <row r="14" customFormat="false" ht="15.75" hidden="false" customHeight="true" outlineLevel="0" collapsed="false">
      <c r="B14" s="18" t="s">
        <v>119</v>
      </c>
    </row>
    <row r="15" customFormat="false" ht="15.75" hidden="false" customHeight="true" outlineLevel="0" collapsed="false">
      <c r="B15" s="19" t="s">
        <v>120</v>
      </c>
    </row>
    <row r="16" customFormat="false" ht="15.75" hidden="false" customHeight="true" outlineLevel="0" collapsed="false">
      <c r="B16" s="19"/>
    </row>
    <row r="17" customFormat="false" ht="15.75" hidden="false" customHeight="true" outlineLevel="0" collapsed="false">
      <c r="B17" s="19" t="s">
        <v>121</v>
      </c>
    </row>
    <row r="18" customFormat="false" ht="15.75" hidden="false" customHeight="true" outlineLevel="0" collapsed="false">
      <c r="B18" s="19"/>
    </row>
    <row r="19" customFormat="false" ht="27.75" hidden="false" customHeight="true" outlineLevel="0" collapsed="false">
      <c r="B19" s="19" t="s">
        <v>122</v>
      </c>
    </row>
    <row r="20" customFormat="false" ht="15.75" hidden="false" customHeight="true" outlineLevel="0" collapsed="false">
      <c r="B20" s="19"/>
    </row>
    <row r="21" customFormat="false" ht="42" hidden="false" customHeight="true" outlineLevel="0" collapsed="false">
      <c r="B21" s="19" t="s">
        <v>123</v>
      </c>
    </row>
    <row r="22" customFormat="false" ht="15.75" hidden="false" customHeight="true" outlineLevel="0" collapsed="false">
      <c r="B22" s="19"/>
    </row>
    <row r="23" customFormat="false" ht="42" hidden="false" customHeight="true" outlineLevel="0" collapsed="false">
      <c r="B23" s="19" t="s">
        <v>124</v>
      </c>
    </row>
    <row r="24" customFormat="false" ht="15.75" hidden="false" customHeight="true" outlineLevel="0" collapsed="false">
      <c r="B24" s="19"/>
    </row>
    <row r="25" customFormat="false" ht="15.75" hidden="false" customHeight="true" outlineLevel="0" collapsed="false">
      <c r="B25" s="19" t="s">
        <v>125</v>
      </c>
    </row>
    <row r="26" customFormat="false" ht="15.75" hidden="false" customHeight="true" outlineLevel="0" collapsed="false">
      <c r="B26" s="19"/>
    </row>
    <row r="27" customFormat="false" ht="15.75" hidden="false" customHeight="true" outlineLevel="0" collapsed="false">
      <c r="B27" s="19" t="s">
        <v>126</v>
      </c>
    </row>
    <row r="28" customFormat="false" ht="15.75" hidden="false" customHeight="true" outlineLevel="0" collapsed="false">
      <c r="B28" s="19" t="s">
        <v>127</v>
      </c>
    </row>
    <row r="29" customFormat="false" ht="15.75" hidden="false" customHeight="true" outlineLevel="0" collapsed="false">
      <c r="B29" s="17"/>
    </row>
    <row r="30" customFormat="false" ht="15.75" hidden="false" customHeight="true" outlineLevel="0" collapsed="false">
      <c r="B30" s="20" t="s">
        <v>128</v>
      </c>
    </row>
    <row r="31" customFormat="false" ht="27.75" hidden="false" customHeight="true" outlineLevel="0" collapsed="false">
      <c r="B31" s="17" t="s">
        <v>129</v>
      </c>
    </row>
    <row r="32" customFormat="false" ht="27.75" hidden="false" customHeight="true" outlineLevel="0" collapsed="false">
      <c r="B32" s="17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2"/>
  </cols>
  <sheetData>
    <row r="1" customFormat="false" ht="16.15" hidden="false" customHeight="false" outlineLevel="0" collapsed="false">
      <c r="B1" s="21" t="s">
        <v>131</v>
      </c>
    </row>
    <row r="3" customFormat="false" ht="15" hidden="false" customHeight="false" outlineLevel="0" collapsed="false">
      <c r="B3" s="15" t="s">
        <v>132</v>
      </c>
      <c r="C3" s="22" t="s">
        <v>133</v>
      </c>
    </row>
    <row r="4" customFormat="false" ht="15" hidden="false" customHeight="false" outlineLevel="0" collapsed="false">
      <c r="B4" s="16" t="s">
        <v>134</v>
      </c>
      <c r="C4" s="23" t="s">
        <v>135</v>
      </c>
    </row>
    <row r="5" customFormat="false" ht="15" hidden="false" customHeight="false" outlineLevel="0" collapsed="false">
      <c r="B5" s="16" t="s">
        <v>136</v>
      </c>
      <c r="C5" s="23" t="s">
        <v>137</v>
      </c>
    </row>
    <row r="6" customFormat="false" ht="15" hidden="false" customHeight="false" outlineLevel="0" collapsed="false">
      <c r="B6" s="16" t="s">
        <v>138</v>
      </c>
      <c r="C6" s="23" t="s">
        <v>139</v>
      </c>
    </row>
    <row r="7" customFormat="false" ht="15" hidden="false" customHeight="false" outlineLevel="0" collapsed="false">
      <c r="B7" s="16" t="s">
        <v>140</v>
      </c>
      <c r="C7" s="23" t="s">
        <v>141</v>
      </c>
    </row>
    <row r="8" customFormat="false" ht="15" hidden="false" customHeight="false" outlineLevel="0" collapsed="false">
      <c r="B8" s="16" t="s">
        <v>142</v>
      </c>
      <c r="C8" s="23" t="s">
        <v>143</v>
      </c>
    </row>
    <row r="9" customFormat="false" ht="15" hidden="false" customHeight="false" outlineLevel="0" collapsed="false">
      <c r="B9" s="16" t="s">
        <v>144</v>
      </c>
      <c r="C9" s="23" t="s">
        <v>145</v>
      </c>
    </row>
    <row r="10" customFormat="false" ht="15" hidden="false" customHeight="false" outlineLevel="0" collapsed="false">
      <c r="B10" s="16" t="s">
        <v>146</v>
      </c>
      <c r="C10" s="23" t="s">
        <v>147</v>
      </c>
    </row>
    <row r="11" customFormat="false" ht="15" hidden="false" customHeight="false" outlineLevel="0" collapsed="false">
      <c r="B11" s="16" t="s">
        <v>148</v>
      </c>
      <c r="C11" s="23" t="s">
        <v>149</v>
      </c>
    </row>
    <row r="12" customFormat="false" ht="15" hidden="false" customHeight="false" outlineLevel="0" collapsed="false">
      <c r="B12" s="16"/>
      <c r="C12" s="23"/>
    </row>
    <row r="13" customFormat="false" ht="15" hidden="false" customHeight="false" outlineLevel="0" collapsed="false">
      <c r="B13" s="15" t="s">
        <v>150</v>
      </c>
      <c r="C13" s="22" t="s">
        <v>151</v>
      </c>
    </row>
    <row r="14" customFormat="false" ht="15" hidden="false" customHeight="false" outlineLevel="0" collapsed="false">
      <c r="B14" s="15" t="s">
        <v>152</v>
      </c>
      <c r="C14" s="2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2026-09-06T20:53:03Z</dcterms:created>
  <dc:creator>openpyxl</dc:creator>
  <dc:description/>
  <dc:language>en-US</dc:language>
  <cp:lastModifiedBy/>
  <dcterms:modified xsi:type="dcterms:W3CDTF">2026-09-06T20:53:45Z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